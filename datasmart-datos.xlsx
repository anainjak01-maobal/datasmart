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ios" sheetId="1" state="visible" r:id="rId3"/>
    <sheet name="Agenda" sheetId="2" state="visible" r:id="rId4"/>
    <sheet name="Indicado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<sst xmlns="http://schemas.openxmlformats.org/spreadsheetml/2006/main" count="270" uniqueCount="79">
  <si>
    <t xml:space="preserve">Servicio</t>
  </si>
  <si>
    <t xml:space="preserve">Precio</t>
  </si>
  <si>
    <t xml:space="preserve">Costo insumos</t>
  </si>
  <si>
    <t xml:space="preserve">Corte dama</t>
  </si>
  <si>
    <t xml:space="preserve">Corte caballero</t>
  </si>
  <si>
    <t xml:space="preserve">Manicure</t>
  </si>
  <si>
    <t xml:space="preserve">Cepillado</t>
  </si>
  <si>
    <t xml:space="preserve">Color o mechas</t>
  </si>
  <si>
    <t xml:space="preserve">Peinado para evento</t>
  </si>
  <si>
    <t xml:space="preserve">ID</t>
  </si>
  <si>
    <t xml:space="preserve">Fecha</t>
  </si>
  <si>
    <t xml:space="preserve">Día</t>
  </si>
  <si>
    <t xml:space="preserve">Cómo llegó</t>
  </si>
  <si>
    <t xml:space="preserve">Tipo</t>
  </si>
  <si>
    <t xml:space="preserve">Estado</t>
  </si>
  <si>
    <t xml:space="preserve">Ingreso</t>
  </si>
  <si>
    <t xml:space="preserve">Costo cobrado</t>
  </si>
  <si>
    <t xml:space="preserve">Margen</t>
  </si>
  <si>
    <t xml:space="preserve">C01</t>
  </si>
  <si>
    <t xml:space="preserve">Lunes</t>
  </si>
  <si>
    <t xml:space="preserve">WhatsApp</t>
  </si>
  <si>
    <t xml:space="preserve">Ya venía</t>
  </si>
  <si>
    <t xml:space="preserve">Atendida</t>
  </si>
  <si>
    <t xml:space="preserve">C02</t>
  </si>
  <si>
    <t xml:space="preserve">Llegó sin cita</t>
  </si>
  <si>
    <t xml:space="preserve">Nueva</t>
  </si>
  <si>
    <t xml:space="preserve">C03</t>
  </si>
  <si>
    <t xml:space="preserve">No llegó</t>
  </si>
  <si>
    <t xml:space="preserve">C04</t>
  </si>
  <si>
    <t xml:space="preserve">Martes</t>
  </si>
  <si>
    <t xml:space="preserve">C05</t>
  </si>
  <si>
    <t xml:space="preserve">C06</t>
  </si>
  <si>
    <t xml:space="preserve">Miércoles</t>
  </si>
  <si>
    <t xml:space="preserve">C07</t>
  </si>
  <si>
    <t xml:space="preserve">Vecina</t>
  </si>
  <si>
    <t xml:space="preserve">C08</t>
  </si>
  <si>
    <t xml:space="preserve">C09</t>
  </si>
  <si>
    <t xml:space="preserve">C10</t>
  </si>
  <si>
    <t xml:space="preserve">Jueves</t>
  </si>
  <si>
    <t xml:space="preserve">C11</t>
  </si>
  <si>
    <t xml:space="preserve">C12</t>
  </si>
  <si>
    <t xml:space="preserve">C13</t>
  </si>
  <si>
    <t xml:space="preserve">Viernes</t>
  </si>
  <si>
    <t xml:space="preserve">C14</t>
  </si>
  <si>
    <t xml:space="preserve">C15</t>
  </si>
  <si>
    <t xml:space="preserve">C16</t>
  </si>
  <si>
    <t xml:space="preserve">C17</t>
  </si>
  <si>
    <t xml:space="preserve">Sábado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</si>
  <si>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</si>
  <si>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</si>
  <si>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</si>
  <si>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</si>
  <si>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</si>
  <si>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</si>
  <si>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</si>
  <si>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</si>
  <si>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</si>
  <si>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</si>
  <si>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</si>
  <si>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</si>
  <si>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</si>
  <si>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</si>
  <si>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</si>
  <si>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</si>
  <si>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</si>
  <si>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</si>
  <si>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</si>
  <si>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</si>
  <si>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</si>
  <si>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</si>
  <si>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C40</t>
  </si>
  <si>
    <t xml:space="preserve">Indicador</t>
  </si>
  <si>
    <t xml:space="preserve">Resultado</t>
  </si>
  <si>
    <t xml:space="preserve">Citas anotadas</t>
  </si>
  <si>
    <t xml:space="preserve">Atendidas</t>
  </si>
  <si>
    <t xml:space="preserve">No llegaron</t>
  </si>
  <si>
    <t xml:space="preserve">Costo de insumos usados</t>
  </si>
  <si>
    <t xml:space="preserve">Margen antes de arriendo</t>
  </si>
  <si>
    <t xml:space="preserve">Porcentaje de margen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</si>
</sst>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dd/mm/yyyy"/>
    <numFmt numFmtId="167" formatCode="0.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161A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416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v>18000</v>
      </c>
      <c r="C2" s="2" t="n">
        <v>2500</v>
      </c>
    </row>
    <row r="3" customFormat="false" ht="15" hidden="false" customHeight="false" outlineLevel="0" collapsed="false">
      <c r="A3" s="0" t="s">
        <v>4</v>
      </c>
      <c r="B3" s="2" t="n">
        <v>12000</v>
      </c>
      <c r="C3" s="2" t="n">
        <v>1500</v>
      </c>
    </row>
    <row r="4" customFormat="false" ht="15" hidden="false" customHeight="false" outlineLevel="0" collapsed="false">
      <c r="A4" s="0" t="s">
        <v>5</v>
      </c>
      <c r="B4" s="2" t="n">
        <v>15000</v>
      </c>
      <c r="C4" s="2" t="n">
        <v>4000</v>
      </c>
    </row>
    <row r="5" customFormat="false" ht="15" hidden="false" customHeight="false" outlineLevel="0" collapsed="false">
      <c r="A5" s="0" t="s">
        <v>6</v>
      </c>
      <c r="B5" s="2" t="n">
        <v>22000</v>
      </c>
      <c r="C5" s="2" t="n">
        <v>3500</v>
      </c>
    </row>
    <row r="6" customFormat="false" ht="15" hidden="false" customHeight="false" outlineLevel="0" collapsed="false">
      <c r="A6" s="0" t="s">
        <v>7</v>
      </c>
      <c r="B6" s="2" t="n">
        <v>55000</v>
      </c>
      <c r="C6" s="2" t="n">
        <v>20000</v>
      </c>
    </row>
    <row r="7" customFormat="false" ht="15" hidden="false" customHeight="false" outlineLevel="0" collapsed="false">
      <c r="A7" s="0" t="s">
        <v>8</v>
      </c>
      <c r="B7" s="2" t="n">
        <v>40000</v>
      </c>
      <c r="C7" s="2" t="n">
        <v>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2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1"/>
  </cols>
  <sheetData>
    <row r="1" customFormat="false" ht="28.35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0</v>
      </c>
      <c r="E1" s="1" t="s">
        <v>12</v>
      </c>
      <c r="F1" s="1" t="s">
        <v>13</v>
      </c>
      <c r="G1" s="1" t="s">
        <v>14</v>
      </c>
      <c r="H1" s="1" t="s">
        <v>1</v>
      </c>
      <c r="I1" s="1" t="s">
        <v>2</v>
      </c>
      <c r="J1" s="1" t="s">
        <v>15</v>
      </c>
      <c r="K1" s="1" t="s">
        <v>16</v>
      </c>
      <c r="L1" s="1" t="s">
        <v>17</v>
      </c>
    </row>
    <row r="2" customFormat="false" ht="15" hidden="false" customHeight="false" outlineLevel="0" collapsed="false">
      <c r="A2" s="0" t="s">
        <v>18</v>
      </c>
      <c r="B2" s="3" t="n">
        <v>46251</v>
      </c>
      <c r="C2" s="4" t="s">
        <v>19</v>
      </c>
      <c r="D2" s="4" t="s">
        <v>3</v>
      </c>
      <c r="E2" s="4" t="s">
        <v>20</v>
      </c>
      <c r="F2" s="4" t="s">
        <v>21</v>
      </c>
      <c r="G2" s="4" t="s">
        <v>22</v>
      </c>
      <c r="H2" s="2" t="n">
        <v>18000</v>
      </c>
      <c r="I2" s="2" t="n">
        <v>2500</v>
      </c>
      <c r="J2" s="2" t="n">
        <f aca="false">IF(G2="Atendida",H2,0)</f>
        <v>18000</v>
      </c>
      <c r="K2" s="2" t="n">
        <f aca="false">IF(G2="Atendida",I2,0)</f>
        <v>2500</v>
      </c>
      <c r="L2" s="2" t="n">
        <f aca="false">J2-K2</f>
        <v>15500</v>
      </c>
    </row>
    <row r="3" customFormat="false" ht="15" hidden="false" customHeight="false" outlineLevel="0" collapsed="false">
      <c r="A3" s="0" t="s">
        <v>23</v>
      </c>
      <c r="B3" s="3" t="n">
        <v>46251</v>
      </c>
      <c r="C3" s="4" t="s">
        <v>19</v>
      </c>
      <c r="D3" s="4" t="s">
        <v>4</v>
      </c>
      <c r="E3" s="4" t="s">
        <v>24</v>
      </c>
      <c r="F3" s="4" t="s">
        <v>25</v>
      </c>
      <c r="G3" s="4" t="s">
        <v>22</v>
      </c>
      <c r="H3" s="2" t="n">
        <v>12000</v>
      </c>
      <c r="I3" s="2" t="n">
        <v>1500</v>
      </c>
      <c r="J3" s="2" t="n">
        <f aca="false">IF(G3="Atendida",H3,0)</f>
        <v>12000</v>
      </c>
      <c r="K3" s="2" t="n">
        <f aca="false">IF(G3="Atendida",I3,0)</f>
        <v>1500</v>
      </c>
      <c r="L3" s="2" t="n">
        <f aca="false">J3-K3</f>
        <v>10500</v>
      </c>
    </row>
    <row r="4" customFormat="false" ht="15" hidden="false" customHeight="false" outlineLevel="0" collapsed="false">
      <c r="A4" s="0" t="s">
        <v>26</v>
      </c>
      <c r="B4" s="3" t="n">
        <v>46251</v>
      </c>
      <c r="C4" s="4" t="s">
        <v>19</v>
      </c>
      <c r="D4" s="4" t="s">
        <v>5</v>
      </c>
      <c r="E4" s="4" t="s">
        <v>20</v>
      </c>
      <c r="F4" s="4" t="s">
        <v>21</v>
      </c>
      <c r="G4" s="4" t="s">
        <v>27</v>
      </c>
      <c r="H4" s="2" t="n">
        <v>15000</v>
      </c>
      <c r="I4" s="2" t="n">
        <v>4000</v>
      </c>
      <c r="J4" s="2" t="n">
        <f aca="false">IF(G4="Atendida",H4,0)</f>
        <v>0</v>
      </c>
      <c r="K4" s="2" t="n">
        <f aca="false">IF(G4="Atendida",I4,0)</f>
        <v>0</v>
      </c>
      <c r="L4" s="2" t="n">
        <f aca="false">J4-K4</f>
        <v>0</v>
      </c>
    </row>
    <row r="5" customFormat="false" ht="15" hidden="false" customHeight="false" outlineLevel="0" collapsed="false">
      <c r="A5" s="0" t="s">
        <v>28</v>
      </c>
      <c r="B5" s="3" t="n">
        <v>46252</v>
      </c>
      <c r="C5" s="4" t="s">
        <v>29</v>
      </c>
      <c r="D5" s="4" t="s">
        <v>6</v>
      </c>
      <c r="E5" s="4" t="s">
        <v>20</v>
      </c>
      <c r="F5" s="4" t="s">
        <v>25</v>
      </c>
      <c r="G5" s="4" t="s">
        <v>22</v>
      </c>
      <c r="H5" s="2" t="n">
        <v>22000</v>
      </c>
      <c r="I5" s="2" t="n">
        <v>3500</v>
      </c>
      <c r="J5" s="2" t="n">
        <f aca="false">IF(G5="Atendida",H5,0)</f>
        <v>22000</v>
      </c>
      <c r="K5" s="2" t="n">
        <f aca="false">IF(G5="Atendida",I5,0)</f>
        <v>3500</v>
      </c>
      <c r="L5" s="2" t="n">
        <f aca="false">J5-K5</f>
        <v>18500</v>
      </c>
    </row>
    <row r="6" customFormat="false" ht="15" hidden="false" customHeight="false" outlineLevel="0" collapsed="false">
      <c r="A6" s="0" t="s">
        <v>30</v>
      </c>
      <c r="B6" s="3" t="n">
        <v>46252</v>
      </c>
      <c r="C6" s="4" t="s">
        <v>29</v>
      </c>
      <c r="D6" s="4" t="s">
        <v>4</v>
      </c>
      <c r="E6" s="4" t="s">
        <v>24</v>
      </c>
      <c r="F6" s="4" t="s">
        <v>25</v>
      </c>
      <c r="G6" s="4" t="s">
        <v>22</v>
      </c>
      <c r="H6" s="2" t="n">
        <v>12000</v>
      </c>
      <c r="I6" s="2" t="n">
        <v>1500</v>
      </c>
      <c r="J6" s="2" t="n">
        <f aca="false">IF(G6="Atendida",H6,0)</f>
        <v>12000</v>
      </c>
      <c r="K6" s="2" t="n">
        <f aca="false">IF(G6="Atendida",I6,0)</f>
        <v>1500</v>
      </c>
      <c r="L6" s="2" t="n">
        <f aca="false">J6-K6</f>
        <v>10500</v>
      </c>
    </row>
    <row r="7" customFormat="false" ht="15" hidden="false" customHeight="false" outlineLevel="0" collapsed="false">
      <c r="A7" s="0" t="s">
        <v>31</v>
      </c>
      <c r="B7" s="3" t="n">
        <v>46253</v>
      </c>
      <c r="C7" s="4" t="s">
        <v>32</v>
      </c>
      <c r="D7" s="4" t="s">
        <v>7</v>
      </c>
      <c r="E7" s="4" t="s">
        <v>20</v>
      </c>
      <c r="F7" s="4" t="s">
        <v>21</v>
      </c>
      <c r="G7" s="4" t="s">
        <v>22</v>
      </c>
      <c r="H7" s="2" t="n">
        <v>55000</v>
      </c>
      <c r="I7" s="2" t="n">
        <v>20000</v>
      </c>
      <c r="J7" s="2" t="n">
        <f aca="false">IF(G7="Atendida",H7,0)</f>
        <v>55000</v>
      </c>
      <c r="K7" s="2" t="n">
        <f aca="false">IF(G7="Atendida",I7,0)</f>
        <v>20000</v>
      </c>
      <c r="L7" s="2" t="n">
        <f aca="false">J7-K7</f>
        <v>35000</v>
      </c>
    </row>
    <row r="8" customFormat="false" ht="15" hidden="false" customHeight="false" outlineLevel="0" collapsed="false">
      <c r="A8" s="0" t="s">
        <v>33</v>
      </c>
      <c r="B8" s="3" t="n">
        <v>46253</v>
      </c>
      <c r="C8" s="4" t="s">
        <v>32</v>
      </c>
      <c r="D8" s="4" t="s">
        <v>3</v>
      </c>
      <c r="E8" s="4" t="s">
        <v>34</v>
      </c>
      <c r="F8" s="4" t="s">
        <v>25</v>
      </c>
      <c r="G8" s="4" t="s">
        <v>22</v>
      </c>
      <c r="H8" s="2" t="n">
        <v>18000</v>
      </c>
      <c r="I8" s="2" t="n">
        <v>2500</v>
      </c>
      <c r="J8" s="2" t="n">
        <f aca="false">IF(G8="Atendida",H8,0)</f>
        <v>18000</v>
      </c>
      <c r="K8" s="2" t="n">
        <f aca="false">IF(G8="Atendida",I8,0)</f>
        <v>2500</v>
      </c>
      <c r="L8" s="2" t="n">
        <f aca="false">J8-K8</f>
        <v>15500</v>
      </c>
    </row>
    <row r="9" customFormat="false" ht="15" hidden="false" customHeight="false" outlineLevel="0" collapsed="false">
      <c r="A9" s="0" t="s">
        <v>35</v>
      </c>
      <c r="B9" s="3" t="n">
        <v>46253</v>
      </c>
      <c r="C9" s="4" t="s">
        <v>32</v>
      </c>
      <c r="D9" s="4" t="s">
        <v>4</v>
      </c>
      <c r="E9" s="4" t="s">
        <v>24</v>
      </c>
      <c r="F9" s="4" t="s">
        <v>25</v>
      </c>
      <c r="G9" s="4" t="s">
        <v>22</v>
      </c>
      <c r="H9" s="2" t="n">
        <v>12000</v>
      </c>
      <c r="I9" s="2" t="n">
        <v>1500</v>
      </c>
      <c r="J9" s="2" t="n">
        <f aca="false">IF(G9="Atendida",H9,0)</f>
        <v>12000</v>
      </c>
      <c r="K9" s="2" t="n">
        <f aca="false">IF(G9="Atendida",I9,0)</f>
        <v>1500</v>
      </c>
      <c r="L9" s="2" t="n">
        <f aca="false">J9-K9</f>
        <v>10500</v>
      </c>
    </row>
    <row r="10" customFormat="false" ht="15" hidden="false" customHeight="false" outlineLevel="0" collapsed="false">
      <c r="A10" s="0" t="s">
        <v>36</v>
      </c>
      <c r="B10" s="3" t="n">
        <v>46253</v>
      </c>
      <c r="C10" s="4" t="s">
        <v>32</v>
      </c>
      <c r="D10" s="4" t="s">
        <v>5</v>
      </c>
      <c r="E10" s="4" t="s">
        <v>20</v>
      </c>
      <c r="F10" s="4" t="s">
        <v>21</v>
      </c>
      <c r="G10" s="4" t="s">
        <v>22</v>
      </c>
      <c r="H10" s="2" t="n">
        <v>15000</v>
      </c>
      <c r="I10" s="2" t="n">
        <v>4000</v>
      </c>
      <c r="J10" s="2" t="n">
        <f aca="false">IF(G10="Atendida",H10,0)</f>
        <v>15000</v>
      </c>
      <c r="K10" s="2" t="n">
        <f aca="false">IF(G10="Atendida",I10,0)</f>
        <v>4000</v>
      </c>
      <c r="L10" s="2" t="n">
        <f aca="false">J10-K10</f>
        <v>11000</v>
      </c>
    </row>
    <row r="11" customFormat="false" ht="15" hidden="false" customHeight="false" outlineLevel="0" collapsed="false">
      <c r="A11" s="0" t="s">
        <v>37</v>
      </c>
      <c r="B11" s="3" t="n">
        <v>46254</v>
      </c>
      <c r="C11" s="4" t="s">
        <v>38</v>
      </c>
      <c r="D11" s="4" t="s">
        <v>8</v>
      </c>
      <c r="E11" s="4" t="s">
        <v>20</v>
      </c>
      <c r="F11" s="4" t="s">
        <v>21</v>
      </c>
      <c r="G11" s="4" t="s">
        <v>22</v>
      </c>
      <c r="H11" s="2" t="n">
        <v>40000</v>
      </c>
      <c r="I11" s="2" t="n">
        <v>7000</v>
      </c>
      <c r="J11" s="2" t="n">
        <f aca="false">IF(G11="Atendida",H11,0)</f>
        <v>40000</v>
      </c>
      <c r="K11" s="2" t="n">
        <f aca="false">IF(G11="Atendida",I11,0)</f>
        <v>7000</v>
      </c>
      <c r="L11" s="2" t="n">
        <f aca="false">J11-K11</f>
        <v>33000</v>
      </c>
    </row>
    <row r="12" customFormat="false" ht="15" hidden="false" customHeight="false" outlineLevel="0" collapsed="false">
      <c r="A12" s="0" t="s">
        <v>39</v>
      </c>
      <c r="B12" s="3" t="n">
        <v>46254</v>
      </c>
      <c r="C12" s="4" t="s">
        <v>38</v>
      </c>
      <c r="D12" s="4" t="s">
        <v>4</v>
      </c>
      <c r="E12" s="4" t="s">
        <v>24</v>
      </c>
      <c r="F12" s="4" t="s">
        <v>25</v>
      </c>
      <c r="G12" s="4" t="s">
        <v>22</v>
      </c>
      <c r="H12" s="2" t="n">
        <v>12000</v>
      </c>
      <c r="I12" s="2" t="n">
        <v>1500</v>
      </c>
      <c r="J12" s="2" t="n">
        <f aca="false">IF(G12="Atendida",H12,0)</f>
        <v>12000</v>
      </c>
      <c r="K12" s="2" t="n">
        <f aca="false">IF(G12="Atendida",I12,0)</f>
        <v>1500</v>
      </c>
      <c r="L12" s="2" t="n">
        <f aca="false">J12-K12</f>
        <v>10500</v>
      </c>
    </row>
    <row r="13" customFormat="false" ht="15" hidden="false" customHeight="false" outlineLevel="0" collapsed="false">
      <c r="A13" s="0" t="s">
        <v>40</v>
      </c>
      <c r="B13" s="3" t="n">
        <v>46254</v>
      </c>
      <c r="C13" s="4" t="s">
        <v>38</v>
      </c>
      <c r="D13" s="4" t="s">
        <v>3</v>
      </c>
      <c r="E13" s="4" t="s">
        <v>20</v>
      </c>
      <c r="F13" s="4" t="s">
        <v>25</v>
      </c>
      <c r="G13" s="4" t="s">
        <v>27</v>
      </c>
      <c r="H13" s="2" t="n">
        <v>18000</v>
      </c>
      <c r="I13" s="2" t="n">
        <v>2500</v>
      </c>
      <c r="J13" s="2" t="n">
        <f aca="false">IF(G13="Atendida",H13,0)</f>
        <v>0</v>
      </c>
      <c r="K13" s="2" t="n">
        <f aca="false">IF(G13="Atendida",I13,0)</f>
        <v>0</v>
      </c>
      <c r="L13" s="2" t="n">
        <f aca="false">J13-K13</f>
        <v>0</v>
      </c>
    </row>
    <row r="14" customFormat="false" ht="15" hidden="false" customHeight="false" outlineLevel="0" collapsed="false">
      <c r="A14" s="0" t="s">
        <v>41</v>
      </c>
      <c r="B14" s="3" t="n">
        <v>46255</v>
      </c>
      <c r="C14" s="4" t="s">
        <v>42</v>
      </c>
      <c r="D14" s="4" t="s">
        <v>7</v>
      </c>
      <c r="E14" s="4" t="s">
        <v>20</v>
      </c>
      <c r="F14" s="4" t="s">
        <v>21</v>
      </c>
      <c r="G14" s="4" t="s">
        <v>22</v>
      </c>
      <c r="H14" s="2" t="n">
        <v>55000</v>
      </c>
      <c r="I14" s="2" t="n">
        <v>20000</v>
      </c>
      <c r="J14" s="2" t="n">
        <f aca="false">IF(G14="Atendida",H14,0)</f>
        <v>55000</v>
      </c>
      <c r="K14" s="2" t="n">
        <f aca="false">IF(G14="Atendida",I14,0)</f>
        <v>20000</v>
      </c>
      <c r="L14" s="2" t="n">
        <f aca="false">J14-K14</f>
        <v>35000</v>
      </c>
    </row>
    <row r="15" customFormat="false" ht="15" hidden="false" customHeight="false" outlineLevel="0" collapsed="false">
      <c r="A15" s="0" t="s">
        <v>43</v>
      </c>
      <c r="B15" s="3" t="n">
        <v>46255</v>
      </c>
      <c r="C15" s="4" t="s">
        <v>42</v>
      </c>
      <c r="D15" s="4" t="s">
        <v>4</v>
      </c>
      <c r="E15" s="4" t="s">
        <v>24</v>
      </c>
      <c r="F15" s="4" t="s">
        <v>25</v>
      </c>
      <c r="G15" s="4" t="s">
        <v>22</v>
      </c>
      <c r="H15" s="2" t="n">
        <v>12000</v>
      </c>
      <c r="I15" s="2" t="n">
        <v>1500</v>
      </c>
      <c r="J15" s="2" t="n">
        <f aca="false">IF(G15="Atendida",H15,0)</f>
        <v>12000</v>
      </c>
      <c r="K15" s="2" t="n">
        <f aca="false">IF(G15="Atendida",I15,0)</f>
        <v>1500</v>
      </c>
      <c r="L15" s="2" t="n">
        <f aca="false">J15-K15</f>
        <v>10500</v>
      </c>
    </row>
    <row r="16" customFormat="false" ht="15" hidden="false" customHeight="false" outlineLevel="0" collapsed="false">
      <c r="A16" s="0" t="s">
        <v>44</v>
      </c>
      <c r="B16" s="3" t="n">
        <v>46255</v>
      </c>
      <c r="C16" s="4" t="s">
        <v>42</v>
      </c>
      <c r="D16" s="4" t="s">
        <v>6</v>
      </c>
      <c r="E16" s="4" t="s">
        <v>34</v>
      </c>
      <c r="F16" s="4" t="s">
        <v>21</v>
      </c>
      <c r="G16" s="4" t="s">
        <v>22</v>
      </c>
      <c r="H16" s="2" t="n">
        <v>22000</v>
      </c>
      <c r="I16" s="2" t="n">
        <v>3500</v>
      </c>
      <c r="J16" s="2" t="n">
        <f aca="false">IF(G16="Atendida",H16,0)</f>
        <v>22000</v>
      </c>
      <c r="K16" s="2" t="n">
        <f aca="false">IF(G16="Atendida",I16,0)</f>
        <v>3500</v>
      </c>
      <c r="L16" s="2" t="n">
        <f aca="false">J16-K16</f>
        <v>18500</v>
      </c>
    </row>
    <row r="17" customFormat="false" ht="15" hidden="false" customHeight="false" outlineLevel="0" collapsed="false">
      <c r="A17" s="0" t="s">
        <v>45</v>
      </c>
      <c r="B17" s="3" t="n">
        <v>46255</v>
      </c>
      <c r="C17" s="4" t="s">
        <v>42</v>
      </c>
      <c r="D17" s="4" t="s">
        <v>5</v>
      </c>
      <c r="E17" s="4" t="s">
        <v>20</v>
      </c>
      <c r="F17" s="4" t="s">
        <v>25</v>
      </c>
      <c r="G17" s="4" t="s">
        <v>22</v>
      </c>
      <c r="H17" s="2" t="n">
        <v>15000</v>
      </c>
      <c r="I17" s="2" t="n">
        <v>4000</v>
      </c>
      <c r="J17" s="2" t="n">
        <f aca="false">IF(G17="Atendida",H17,0)</f>
        <v>15000</v>
      </c>
      <c r="K17" s="2" t="n">
        <f aca="false">IF(G17="Atendida",I17,0)</f>
        <v>4000</v>
      </c>
      <c r="L17" s="2" t="n">
        <f aca="false">J17-K17</f>
        <v>11000</v>
      </c>
    </row>
    <row r="18" customFormat="false" ht="15" hidden="false" customHeight="false" outlineLevel="0" collapsed="false">
      <c r="A18" s="0" t="s">
        <v>46</v>
      </c>
      <c r="B18" s="3" t="n">
        <v>46256</v>
      </c>
      <c r="C18" s="4" t="s">
        <v>47</v>
      </c>
      <c r="D18" s="4" t="s">
        <v>6</v>
      </c>
      <c r="E18" s="4" t="s">
        <v>20</v>
      </c>
      <c r="F18" s="4" t="s">
        <v>21</v>
      </c>
      <c r="G18" s="4" t="s">
        <v>22</v>
      </c>
      <c r="H18" s="2" t="n">
        <v>22000</v>
      </c>
      <c r="I18" s="2" t="n">
        <v>3500</v>
      </c>
      <c r="J18" s="2" t="n">
        <f aca="false">IF(G18="Atendida",H18,0)</f>
        <v>22000</v>
      </c>
      <c r="K18" s="2" t="n">
        <f aca="false">IF(G18="Atendida",I18,0)</f>
        <v>3500</v>
      </c>
      <c r="L18" s="2" t="n">
        <f aca="false">J18-K18</f>
        <v>18500</v>
      </c>
    </row>
    <row r="19" customFormat="false" ht="15" hidden="false" customHeight="false" outlineLevel="0" collapsed="false">
      <c r="A19" s="0" t="s">
        <v>48</v>
      </c>
      <c r="B19" s="3" t="n">
        <v>46256</v>
      </c>
      <c r="C19" s="4" t="s">
        <v>47</v>
      </c>
      <c r="D19" s="4" t="s">
        <v>4</v>
      </c>
      <c r="E19" s="4" t="s">
        <v>24</v>
      </c>
      <c r="F19" s="4" t="s">
        <v>25</v>
      </c>
      <c r="G19" s="4" t="s">
        <v>22</v>
      </c>
      <c r="H19" s="2" t="n">
        <v>12000</v>
      </c>
      <c r="I19" s="2" t="n">
        <v>1500</v>
      </c>
      <c r="J19" s="2" t="n">
        <f aca="false">IF(G19="Atendida",H19,0)</f>
        <v>12000</v>
      </c>
      <c r="K19" s="2" t="n">
        <f aca="false">IF(G19="Atendida",I19,0)</f>
        <v>1500</v>
      </c>
      <c r="L19" s="2" t="n">
        <f aca="false">J19-K19</f>
        <v>10500</v>
      </c>
    </row>
    <row r="20" customFormat="false" ht="15" hidden="false" customHeight="false" outlineLevel="0" collapsed="false">
      <c r="A20" s="0" t="s">
        <v>49</v>
      </c>
      <c r="B20" s="3" t="n">
        <v>46256</v>
      </c>
      <c r="C20" s="4" t="s">
        <v>47</v>
      </c>
      <c r="D20" s="4" t="s">
        <v>3</v>
      </c>
      <c r="E20" s="4" t="s">
        <v>20</v>
      </c>
      <c r="F20" s="4" t="s">
        <v>25</v>
      </c>
      <c r="G20" s="4" t="s">
        <v>22</v>
      </c>
      <c r="H20" s="2" t="n">
        <v>18000</v>
      </c>
      <c r="I20" s="2" t="n">
        <v>2500</v>
      </c>
      <c r="J20" s="2" t="n">
        <f aca="false">IF(G20="Atendida",H20,0)</f>
        <v>18000</v>
      </c>
      <c r="K20" s="2" t="n">
        <f aca="false">IF(G20="Atendida",I20,0)</f>
        <v>2500</v>
      </c>
      <c r="L20" s="2" t="n">
        <f aca="false">J20-K20</f>
        <v>15500</v>
      </c>
    </row>
    <row r="21" customFormat="false" ht="15" hidden="false" customHeight="false" outlineLevel="0" collapsed="false">
      <c r="A21" s="0" t="s">
        <v>50</v>
      </c>
      <c r="B21" s="3" t="n">
        <v>46256</v>
      </c>
      <c r="C21" s="4" t="s">
        <v>47</v>
      </c>
      <c r="D21" s="4" t="s">
        <v>7</v>
      </c>
      <c r="E21" s="4" t="s">
        <v>34</v>
      </c>
      <c r="F21" s="4" t="s">
        <v>21</v>
      </c>
      <c r="G21" s="4" t="s">
        <v>22</v>
      </c>
      <c r="H21" s="2" t="n">
        <v>55000</v>
      </c>
      <c r="I21" s="2" t="n">
        <v>20000</v>
      </c>
      <c r="J21" s="2" t="n">
        <f aca="false">IF(G21="Atendida",H21,0)</f>
        <v>55000</v>
      </c>
      <c r="K21" s="2" t="n">
        <f aca="false">IF(G21="Atendida",I21,0)</f>
        <v>20000</v>
      </c>
      <c r="L21" s="2" t="n">
        <f aca="false">J21-K21</f>
        <v>35000</v>
      </c>
    </row>
    <row r="22" customFormat="false" ht="15" hidden="false" customHeight="false" outlineLevel="0" collapsed="false">
      <c r="A22" s="0" t="s">
        <v>51</v>
      </c>
      <c r="B22" s="3" t="n">
        <v>46256</v>
      </c>
      <c r="C22" s="4" t="s">
        <v>47</v>
      </c>
      <c r="D22" s="4" t="s">
        <v>4</v>
      </c>
      <c r="E22" s="4" t="s">
        <v>24</v>
      </c>
      <c r="F22" s="4" t="s">
        <v>25</v>
      </c>
      <c r="G22" s="4" t="s">
        <v>22</v>
      </c>
      <c r="H22" s="2" t="n">
        <v>12000</v>
      </c>
      <c r="I22" s="2" t="n">
        <v>1500</v>
      </c>
      <c r="J22" s="2" t="n">
        <f aca="false">IF(G22="Atendida",H22,0)</f>
        <v>12000</v>
      </c>
      <c r="K22" s="2" t="n">
        <f aca="false">IF(G22="Atendida",I22,0)</f>
        <v>1500</v>
      </c>
      <c r="L22" s="2" t="n">
        <f aca="false">J22-K22</f>
        <v>10500</v>
      </c>
    </row>
    <row r="23" customFormat="false" ht="15" hidden="false" customHeight="false" outlineLevel="0" collapsed="false">
      <c r="A23" s="0" t="s">
        <v>52</v>
      </c>
      <c r="B23" s="3" t="n">
        <v>46256</v>
      </c>
      <c r="C23" s="4" t="s">
        <v>47</v>
      </c>
      <c r="D23" s="4" t="s">
        <v>5</v>
      </c>
      <c r="E23" s="4" t="s">
        <v>20</v>
      </c>
      <c r="F23" s="4" t="s">
        <v>25</v>
      </c>
      <c r="G23" s="4" t="s">
        <v>27</v>
      </c>
      <c r="H23" s="2" t="n">
        <v>15000</v>
      </c>
      <c r="I23" s="2" t="n">
        <v>4000</v>
      </c>
      <c r="J23" s="2" t="n">
        <f aca="false">IF(G23="Atendida",H23,0)</f>
        <v>0</v>
      </c>
      <c r="K23" s="2" t="n">
        <f aca="false">IF(G23="Atendida",I23,0)</f>
        <v>0</v>
      </c>
      <c r="L23" s="2" t="n">
        <f aca="false">J23-K23</f>
        <v>0</v>
      </c>
    </row>
    <row r="24" customFormat="false" ht="15" hidden="false" customHeight="false" outlineLevel="0" collapsed="false">
      <c r="A24" s="0" t="s">
        <v>53</v>
      </c>
      <c r="B24" s="3" t="n">
        <v>46258</v>
      </c>
      <c r="C24" s="4" t="s">
        <v>19</v>
      </c>
      <c r="D24" s="4" t="s">
        <v>3</v>
      </c>
      <c r="E24" s="4" t="s">
        <v>20</v>
      </c>
      <c r="F24" s="4" t="s">
        <v>21</v>
      </c>
      <c r="G24" s="4" t="s">
        <v>22</v>
      </c>
      <c r="H24" s="2" t="n">
        <v>18000</v>
      </c>
      <c r="I24" s="2" t="n">
        <v>2500</v>
      </c>
      <c r="J24" s="2" t="n">
        <f aca="false">IF(G24="Atendida",H24,0)</f>
        <v>18000</v>
      </c>
      <c r="K24" s="2" t="n">
        <f aca="false">IF(G24="Atendida",I24,0)</f>
        <v>2500</v>
      </c>
      <c r="L24" s="2" t="n">
        <f aca="false">J24-K24</f>
        <v>15500</v>
      </c>
    </row>
    <row r="25" customFormat="false" ht="15" hidden="false" customHeight="false" outlineLevel="0" collapsed="false">
      <c r="A25" s="0" t="s">
        <v>54</v>
      </c>
      <c r="B25" s="3" t="n">
        <v>46258</v>
      </c>
      <c r="C25" s="4" t="s">
        <v>19</v>
      </c>
      <c r="D25" s="4" t="s">
        <v>4</v>
      </c>
      <c r="E25" s="4" t="s">
        <v>24</v>
      </c>
      <c r="F25" s="4" t="s">
        <v>25</v>
      </c>
      <c r="G25" s="4" t="s">
        <v>22</v>
      </c>
      <c r="H25" s="2" t="n">
        <v>12000</v>
      </c>
      <c r="I25" s="2" t="n">
        <v>1500</v>
      </c>
      <c r="J25" s="2" t="n">
        <f aca="false">IF(G25="Atendida",H25,0)</f>
        <v>12000</v>
      </c>
      <c r="K25" s="2" t="n">
        <f aca="false">IF(G25="Atendida",I25,0)</f>
        <v>1500</v>
      </c>
      <c r="L25" s="2" t="n">
        <f aca="false">J25-K25</f>
        <v>10500</v>
      </c>
    </row>
    <row r="26" customFormat="false" ht="15" hidden="false" customHeight="false" outlineLevel="0" collapsed="false">
      <c r="A26" s="0" t="s">
        <v>55</v>
      </c>
      <c r="B26" s="3" t="n">
        <v>46259</v>
      </c>
      <c r="C26" s="4" t="s">
        <v>29</v>
      </c>
      <c r="D26" s="4" t="s">
        <v>5</v>
      </c>
      <c r="E26" s="4" t="s">
        <v>20</v>
      </c>
      <c r="F26" s="4" t="s">
        <v>25</v>
      </c>
      <c r="G26" s="4" t="s">
        <v>22</v>
      </c>
      <c r="H26" s="2" t="n">
        <v>15000</v>
      </c>
      <c r="I26" s="2" t="n">
        <v>4000</v>
      </c>
      <c r="J26" s="2" t="n">
        <f aca="false">IF(G26="Atendida",H26,0)</f>
        <v>15000</v>
      </c>
      <c r="K26" s="2" t="n">
        <f aca="false">IF(G26="Atendida",I26,0)</f>
        <v>4000</v>
      </c>
      <c r="L26" s="2" t="n">
        <f aca="false">J26-K26</f>
        <v>11000</v>
      </c>
    </row>
    <row r="27" customFormat="false" ht="15" hidden="false" customHeight="false" outlineLevel="0" collapsed="false">
      <c r="A27" s="0" t="s">
        <v>56</v>
      </c>
      <c r="B27" s="3" t="n">
        <v>46259</v>
      </c>
      <c r="C27" s="4" t="s">
        <v>29</v>
      </c>
      <c r="D27" s="4" t="s">
        <v>4</v>
      </c>
      <c r="E27" s="4" t="s">
        <v>20</v>
      </c>
      <c r="F27" s="4" t="s">
        <v>25</v>
      </c>
      <c r="G27" s="4" t="s">
        <v>27</v>
      </c>
      <c r="H27" s="2" t="n">
        <v>12000</v>
      </c>
      <c r="I27" s="2" t="n">
        <v>1500</v>
      </c>
      <c r="J27" s="2" t="n">
        <f aca="false">IF(G27="Atendida",H27,0)</f>
        <v>0</v>
      </c>
      <c r="K27" s="2" t="n">
        <f aca="false">IF(G27="Atendida",I27,0)</f>
        <v>0</v>
      </c>
      <c r="L27" s="2" t="n">
        <f aca="false">J27-K27</f>
        <v>0</v>
      </c>
    </row>
    <row r="28" customFormat="false" ht="15" hidden="false" customHeight="false" outlineLevel="0" collapsed="false">
      <c r="A28" s="0" t="s">
        <v>57</v>
      </c>
      <c r="B28" s="3" t="n">
        <v>46260</v>
      </c>
      <c r="C28" s="4" t="s">
        <v>32</v>
      </c>
      <c r="D28" s="4" t="s">
        <v>3</v>
      </c>
      <c r="E28" s="4" t="s">
        <v>20</v>
      </c>
      <c r="F28" s="4" t="s">
        <v>21</v>
      </c>
      <c r="G28" s="4" t="s">
        <v>22</v>
      </c>
      <c r="H28" s="2" t="n">
        <v>18000</v>
      </c>
      <c r="I28" s="2" t="n">
        <v>2500</v>
      </c>
      <c r="J28" s="2" t="n">
        <f aca="false">IF(G28="Atendida",H28,0)</f>
        <v>18000</v>
      </c>
      <c r="K28" s="2" t="n">
        <f aca="false">IF(G28="Atendida",I28,0)</f>
        <v>2500</v>
      </c>
      <c r="L28" s="2" t="n">
        <f aca="false">J28-K28</f>
        <v>15500</v>
      </c>
    </row>
    <row r="29" customFormat="false" ht="15" hidden="false" customHeight="false" outlineLevel="0" collapsed="false">
      <c r="A29" s="0" t="s">
        <v>58</v>
      </c>
      <c r="B29" s="3" t="n">
        <v>46260</v>
      </c>
      <c r="C29" s="4" t="s">
        <v>32</v>
      </c>
      <c r="D29" s="4" t="s">
        <v>4</v>
      </c>
      <c r="E29" s="4" t="s">
        <v>24</v>
      </c>
      <c r="F29" s="4" t="s">
        <v>25</v>
      </c>
      <c r="G29" s="4" t="s">
        <v>22</v>
      </c>
      <c r="H29" s="2" t="n">
        <v>12000</v>
      </c>
      <c r="I29" s="2" t="n">
        <v>1500</v>
      </c>
      <c r="J29" s="2" t="n">
        <f aca="false">IF(G29="Atendida",H29,0)</f>
        <v>12000</v>
      </c>
      <c r="K29" s="2" t="n">
        <f aca="false">IF(G29="Atendida",I29,0)</f>
        <v>1500</v>
      </c>
      <c r="L29" s="2" t="n">
        <f aca="false">J29-K29</f>
        <v>10500</v>
      </c>
    </row>
    <row r="30" customFormat="false" ht="15" hidden="false" customHeight="false" outlineLevel="0" collapsed="false">
      <c r="A30" s="0" t="s">
        <v>59</v>
      </c>
      <c r="B30" s="3" t="n">
        <v>46260</v>
      </c>
      <c r="C30" s="4" t="s">
        <v>32</v>
      </c>
      <c r="D30" s="4" t="s">
        <v>8</v>
      </c>
      <c r="E30" s="4" t="s">
        <v>20</v>
      </c>
      <c r="F30" s="4" t="s">
        <v>21</v>
      </c>
      <c r="G30" s="4" t="s">
        <v>22</v>
      </c>
      <c r="H30" s="2" t="n">
        <v>40000</v>
      </c>
      <c r="I30" s="2" t="n">
        <v>7000</v>
      </c>
      <c r="J30" s="2" t="n">
        <f aca="false">IF(G30="Atendida",H30,0)</f>
        <v>40000</v>
      </c>
      <c r="K30" s="2" t="n">
        <f aca="false">IF(G30="Atendida",I30,0)</f>
        <v>7000</v>
      </c>
      <c r="L30" s="2" t="n">
        <f aca="false">J30-K30</f>
        <v>33000</v>
      </c>
    </row>
    <row r="31" customFormat="false" ht="15" hidden="false" customHeight="false" outlineLevel="0" collapsed="false">
      <c r="A31" s="0" t="s">
        <v>60</v>
      </c>
      <c r="B31" s="3" t="n">
        <v>46261</v>
      </c>
      <c r="C31" s="4" t="s">
        <v>38</v>
      </c>
      <c r="D31" s="4" t="s">
        <v>7</v>
      </c>
      <c r="E31" s="4" t="s">
        <v>20</v>
      </c>
      <c r="F31" s="4" t="s">
        <v>21</v>
      </c>
      <c r="G31" s="4" t="s">
        <v>22</v>
      </c>
      <c r="H31" s="2" t="n">
        <v>55000</v>
      </c>
      <c r="I31" s="2" t="n">
        <v>20000</v>
      </c>
      <c r="J31" s="2" t="n">
        <f aca="false">IF(G31="Atendida",H31,0)</f>
        <v>55000</v>
      </c>
      <c r="K31" s="2" t="n">
        <f aca="false">IF(G31="Atendida",I31,0)</f>
        <v>20000</v>
      </c>
      <c r="L31" s="2" t="n">
        <f aca="false">J31-K31</f>
        <v>35000</v>
      </c>
    </row>
    <row r="32" customFormat="false" ht="15" hidden="false" customHeight="false" outlineLevel="0" collapsed="false">
      <c r="A32" s="0" t="s">
        <v>61</v>
      </c>
      <c r="B32" s="3" t="n">
        <v>46261</v>
      </c>
      <c r="C32" s="4" t="s">
        <v>38</v>
      </c>
      <c r="D32" s="4" t="s">
        <v>4</v>
      </c>
      <c r="E32" s="4" t="s">
        <v>24</v>
      </c>
      <c r="F32" s="4" t="s">
        <v>25</v>
      </c>
      <c r="G32" s="4" t="s">
        <v>22</v>
      </c>
      <c r="H32" s="2" t="n">
        <v>12000</v>
      </c>
      <c r="I32" s="2" t="n">
        <v>1500</v>
      </c>
      <c r="J32" s="2" t="n">
        <f aca="false">IF(G32="Atendida",H32,0)</f>
        <v>12000</v>
      </c>
      <c r="K32" s="2" t="n">
        <f aca="false">IF(G32="Atendida",I32,0)</f>
        <v>1500</v>
      </c>
      <c r="L32" s="2" t="n">
        <f aca="false">J32-K32</f>
        <v>10500</v>
      </c>
    </row>
    <row r="33" customFormat="false" ht="15" hidden="false" customHeight="false" outlineLevel="0" collapsed="false">
      <c r="A33" s="0" t="s">
        <v>62</v>
      </c>
      <c r="B33" s="3" t="n">
        <v>46262</v>
      </c>
      <c r="C33" s="4" t="s">
        <v>42</v>
      </c>
      <c r="D33" s="4" t="s">
        <v>5</v>
      </c>
      <c r="E33" s="4" t="s">
        <v>34</v>
      </c>
      <c r="F33" s="4" t="s">
        <v>21</v>
      </c>
      <c r="G33" s="4" t="s">
        <v>22</v>
      </c>
      <c r="H33" s="2" t="n">
        <v>15000</v>
      </c>
      <c r="I33" s="2" t="n">
        <v>4000</v>
      </c>
      <c r="J33" s="2" t="n">
        <f aca="false">IF(G33="Atendida",H33,0)</f>
        <v>15000</v>
      </c>
      <c r="K33" s="2" t="n">
        <f aca="false">IF(G33="Atendida",I33,0)</f>
        <v>4000</v>
      </c>
      <c r="L33" s="2" t="n">
        <f aca="false">J33-K33</f>
        <v>11000</v>
      </c>
    </row>
    <row r="34" customFormat="false" ht="15" hidden="false" customHeight="false" outlineLevel="0" collapsed="false">
      <c r="A34" s="0" t="s">
        <v>63</v>
      </c>
      <c r="B34" s="3" t="n">
        <v>46262</v>
      </c>
      <c r="C34" s="4" t="s">
        <v>42</v>
      </c>
      <c r="D34" s="4" t="s">
        <v>4</v>
      </c>
      <c r="E34" s="4" t="s">
        <v>24</v>
      </c>
      <c r="F34" s="4" t="s">
        <v>25</v>
      </c>
      <c r="G34" s="4" t="s">
        <v>22</v>
      </c>
      <c r="H34" s="2" t="n">
        <v>12000</v>
      </c>
      <c r="I34" s="2" t="n">
        <v>1500</v>
      </c>
      <c r="J34" s="2" t="n">
        <f aca="false">IF(G34="Atendida",H34,0)</f>
        <v>12000</v>
      </c>
      <c r="K34" s="2" t="n">
        <f aca="false">IF(G34="Atendida",I34,0)</f>
        <v>1500</v>
      </c>
      <c r="L34" s="2" t="n">
        <f aca="false">J34-K34</f>
        <v>10500</v>
      </c>
    </row>
    <row r="35" customFormat="false" ht="15" hidden="false" customHeight="false" outlineLevel="0" collapsed="false">
      <c r="A35" s="0" t="s">
        <v>64</v>
      </c>
      <c r="B35" s="3" t="n">
        <v>46262</v>
      </c>
      <c r="C35" s="4" t="s">
        <v>42</v>
      </c>
      <c r="D35" s="4" t="s">
        <v>6</v>
      </c>
      <c r="E35" s="4" t="s">
        <v>20</v>
      </c>
      <c r="F35" s="4" t="s">
        <v>25</v>
      </c>
      <c r="G35" s="4" t="s">
        <v>22</v>
      </c>
      <c r="H35" s="2" t="n">
        <v>22000</v>
      </c>
      <c r="I35" s="2" t="n">
        <v>3500</v>
      </c>
      <c r="J35" s="2" t="n">
        <f aca="false">IF(G35="Atendida",H35,0)</f>
        <v>22000</v>
      </c>
      <c r="K35" s="2" t="n">
        <f aca="false">IF(G35="Atendida",I35,0)</f>
        <v>3500</v>
      </c>
      <c r="L35" s="2" t="n">
        <f aca="false">J35-K35</f>
        <v>18500</v>
      </c>
    </row>
    <row r="36" customFormat="false" ht="15" hidden="false" customHeight="false" outlineLevel="0" collapsed="false">
      <c r="A36" s="0" t="s">
        <v>65</v>
      </c>
      <c r="B36" s="3" t="n">
        <v>46263</v>
      </c>
      <c r="C36" s="4" t="s">
        <v>47</v>
      </c>
      <c r="D36" s="4" t="s">
        <v>8</v>
      </c>
      <c r="E36" s="4" t="s">
        <v>20</v>
      </c>
      <c r="F36" s="4" t="s">
        <v>21</v>
      </c>
      <c r="G36" s="4" t="s">
        <v>22</v>
      </c>
      <c r="H36" s="2" t="n">
        <v>40000</v>
      </c>
      <c r="I36" s="2" t="n">
        <v>7000</v>
      </c>
      <c r="J36" s="2" t="n">
        <f aca="false">IF(G36="Atendida",H36,0)</f>
        <v>40000</v>
      </c>
      <c r="K36" s="2" t="n">
        <f aca="false">IF(G36="Atendida",I36,0)</f>
        <v>7000</v>
      </c>
      <c r="L36" s="2" t="n">
        <f aca="false">J36-K36</f>
        <v>33000</v>
      </c>
    </row>
    <row r="37" customFormat="false" ht="15" hidden="false" customHeight="false" outlineLevel="0" collapsed="false">
      <c r="A37" s="0" t="s">
        <v>66</v>
      </c>
      <c r="B37" s="3" t="n">
        <v>46263</v>
      </c>
      <c r="C37" s="4" t="s">
        <v>47</v>
      </c>
      <c r="D37" s="4" t="s">
        <v>4</v>
      </c>
      <c r="E37" s="4" t="s">
        <v>24</v>
      </c>
      <c r="F37" s="4" t="s">
        <v>25</v>
      </c>
      <c r="G37" s="4" t="s">
        <v>22</v>
      </c>
      <c r="H37" s="2" t="n">
        <v>12000</v>
      </c>
      <c r="I37" s="2" t="n">
        <v>1500</v>
      </c>
      <c r="J37" s="2" t="n">
        <f aca="false">IF(G37="Atendida",H37,0)</f>
        <v>12000</v>
      </c>
      <c r="K37" s="2" t="n">
        <f aca="false">IF(G37="Atendida",I37,0)</f>
        <v>1500</v>
      </c>
      <c r="L37" s="2" t="n">
        <f aca="false">J37-K37</f>
        <v>10500</v>
      </c>
    </row>
    <row r="38" customFormat="false" ht="15" hidden="false" customHeight="false" outlineLevel="0" collapsed="false">
      <c r="A38" s="0" t="s">
        <v>67</v>
      </c>
      <c r="B38" s="3" t="n">
        <v>46263</v>
      </c>
      <c r="C38" s="4" t="s">
        <v>47</v>
      </c>
      <c r="D38" s="4" t="s">
        <v>7</v>
      </c>
      <c r="E38" s="4" t="s">
        <v>20</v>
      </c>
      <c r="F38" s="4" t="s">
        <v>21</v>
      </c>
      <c r="G38" s="4" t="s">
        <v>22</v>
      </c>
      <c r="H38" s="2" t="n">
        <v>55000</v>
      </c>
      <c r="I38" s="2" t="n">
        <v>20000</v>
      </c>
      <c r="J38" s="2" t="n">
        <f aca="false">IF(G38="Atendida",H38,0)</f>
        <v>55000</v>
      </c>
      <c r="K38" s="2" t="n">
        <f aca="false">IF(G38="Atendida",I38,0)</f>
        <v>20000</v>
      </c>
      <c r="L38" s="2" t="n">
        <f aca="false">J38-K38</f>
        <v>35000</v>
      </c>
    </row>
    <row r="39" customFormat="false" ht="15" hidden="false" customHeight="false" outlineLevel="0" collapsed="false">
      <c r="A39" s="0" t="s">
        <v>68</v>
      </c>
      <c r="B39" s="3" t="n">
        <v>46263</v>
      </c>
      <c r="C39" s="4" t="s">
        <v>47</v>
      </c>
      <c r="D39" s="4" t="s">
        <v>5</v>
      </c>
      <c r="E39" s="4" t="s">
        <v>34</v>
      </c>
      <c r="F39" s="4" t="s">
        <v>21</v>
      </c>
      <c r="G39" s="4" t="s">
        <v>22</v>
      </c>
      <c r="H39" s="2" t="n">
        <v>15000</v>
      </c>
      <c r="I39" s="2" t="n">
        <v>4000</v>
      </c>
      <c r="J39" s="2" t="n">
        <f aca="false">IF(G39="Atendida",H39,0)</f>
        <v>15000</v>
      </c>
      <c r="K39" s="2" t="n">
        <f aca="false">IF(G39="Atendida",I39,0)</f>
        <v>4000</v>
      </c>
      <c r="L39" s="2" t="n">
        <f aca="false">J39-K39</f>
        <v>11000</v>
      </c>
    </row>
    <row r="40" customFormat="false" ht="15" hidden="false" customHeight="false" outlineLevel="0" collapsed="false">
      <c r="A40" s="0" t="s">
        <v>69</v>
      </c>
      <c r="B40" s="3" t="n">
        <v>46263</v>
      </c>
      <c r="C40" s="4" t="s">
        <v>47</v>
      </c>
      <c r="D40" s="4" t="s">
        <v>4</v>
      </c>
      <c r="E40" s="4" t="s">
        <v>24</v>
      </c>
      <c r="F40" s="4" t="s">
        <v>25</v>
      </c>
      <c r="G40" s="4" t="s">
        <v>22</v>
      </c>
      <c r="H40" s="2" t="n">
        <v>12000</v>
      </c>
      <c r="I40" s="2" t="n">
        <v>1500</v>
      </c>
      <c r="J40" s="2" t="n">
        <f aca="false">IF(G40="Atendida",H40,0)</f>
        <v>12000</v>
      </c>
      <c r="K40" s="2" t="n">
        <f aca="false">IF(G40="Atendida",I40,0)</f>
        <v>1500</v>
      </c>
      <c r="L40" s="2" t="n">
        <f aca="false">J40-K40</f>
        <v>10500</v>
      </c>
    </row>
    <row r="41" customFormat="false" ht="15" hidden="false" customHeight="false" outlineLevel="0" collapsed="false">
      <c r="A41" s="0" t="s">
        <v>70</v>
      </c>
      <c r="B41" s="3" t="n">
        <v>46263</v>
      </c>
      <c r="C41" s="4" t="s">
        <v>47</v>
      </c>
      <c r="D41" s="4" t="s">
        <v>6</v>
      </c>
      <c r="E41" s="4" t="s">
        <v>20</v>
      </c>
      <c r="F41" s="4" t="s">
        <v>21</v>
      </c>
      <c r="G41" s="4" t="s">
        <v>27</v>
      </c>
      <c r="H41" s="2" t="n">
        <v>22000</v>
      </c>
      <c r="I41" s="2" t="n">
        <v>3500</v>
      </c>
      <c r="J41" s="2" t="n">
        <f aca="false">IF(G41="Atendida",H41,0)</f>
        <v>0</v>
      </c>
      <c r="K41" s="2" t="n">
        <f aca="false">IF(G41="Atendida",I41,0)</f>
        <v>0</v>
      </c>
      <c r="L41" s="2" t="n">
        <f aca="false">J41-K41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5" t="s">
        <v>71</v>
      </c>
      <c r="B1" s="5" t="s">
        <v>72</v>
      </c>
    </row>
    <row r="2" customFormat="false" ht="15" hidden="false" customHeight="false" outlineLevel="0" collapsed="false">
      <c r="A2" s="0" t="s">
        <v>73</v>
      </c>
      <c r="B2" s="0" t="n">
        <f aca="false">COUNTA(Agenda!A2:A41)</f>
        <v>40</v>
      </c>
    </row>
    <row r="3" customFormat="false" ht="15" hidden="false" customHeight="false" outlineLevel="0" collapsed="false">
      <c r="A3" s="0" t="s">
        <v>74</v>
      </c>
      <c r="B3" s="0" t="n">
        <f aca="false">COUNTIF(Agenda!G2:G41,"Atendida")</f>
        <v>35</v>
      </c>
    </row>
    <row r="4" customFormat="false" ht="15" hidden="false" customHeight="false" outlineLevel="0" collapsed="false">
      <c r="A4" s="0" t="s">
        <v>75</v>
      </c>
      <c r="B4" s="2" t="n">
        <f aca="false">COUNTIF(Agenda!G2:G41,"No llegó")</f>
        <v>5</v>
      </c>
    </row>
    <row r="5" customFormat="false" ht="15" hidden="false" customHeight="false" outlineLevel="0" collapsed="false">
      <c r="A5" s="0" t="s">
        <v>15</v>
      </c>
      <c r="B5" s="2" t="n">
        <f aca="false">SUM(Agenda!J2:J41)</f>
        <v>804000</v>
      </c>
    </row>
    <row r="6" customFormat="false" ht="15" hidden="false" customHeight="false" outlineLevel="0" collapsed="false">
      <c r="A6" s="0" t="s">
        <v>76</v>
      </c>
      <c r="B6" s="2" t="n">
        <f aca="false">SUM(Agenda!K2:K41)</f>
        <v>187000</v>
      </c>
    </row>
    <row r="7" customFormat="false" ht="15" hidden="false" customHeight="false" outlineLevel="0" collapsed="false">
      <c r="A7" s="0" t="s">
        <v>77</v>
      </c>
      <c r="B7" s="2" t="n">
        <f aca="false">SUM(Agenda!L2:L41)</f>
        <v>617000</v>
      </c>
    </row>
    <row r="8" customFormat="false" ht="15" hidden="false" customHeight="false" outlineLevel="0" collapsed="false">
      <c r="A8" s="0" t="s">
        <v>78</v>
      </c>
      <c r="B8" s="2" t="n">
        <f aca="false">IFERROR(B7/B5,0)</f>
        <v>0.767412935323383</v>
      </c>
    </row>
    <row r="10" customFormat="false" ht="15" hidden="false" customHeight="false" outlineLevel="0" collapsed="false">
      <c r="B1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2026-10-18T09:15:23Z</dcterms:created>
  <dc:creator>openpyxl</dc:creator>
  <dc:description/>
  <dc:language>en-US</dc:language>
  <cp:lastModifiedBy/>
  <dcterms:modified xsi:type="dcterms:W3CDTF">2026-10-18T09:15:23Z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